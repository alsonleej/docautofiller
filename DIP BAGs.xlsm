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son\Desktop\DIP BAG MAKER\docautofiller\"/>
    </mc:Choice>
  </mc:AlternateContent>
  <xr:revisionPtr revIDLastSave="0" documentId="13_ncr:1_{6D09FAD7-6C6C-42CC-A8DF-363D053D5878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Sheet1" sheetId="1" r:id="rId1"/>
    <sheet name="Addresses" sheetId="2" r:id="rId2"/>
    <sheet name="HOW TO USE" sheetId="3" r:id="rId3"/>
  </sheets>
  <definedNames>
    <definedName name="_xlnm._FilterDatabase" localSheetId="0" hidden="1">Sheet1!$C$1:$C$13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1" l="1"/>
  <c r="E3" i="1"/>
  <c r="F3" i="1"/>
  <c r="D4" i="1"/>
  <c r="E4" i="1"/>
  <c r="F4" i="1"/>
  <c r="D5" i="1"/>
  <c r="E5" i="1"/>
  <c r="F5" i="1"/>
  <c r="D6" i="1"/>
  <c r="E6" i="1"/>
  <c r="F6" i="1"/>
  <c r="D7" i="1"/>
  <c r="E7" i="1"/>
  <c r="F7" i="1"/>
  <c r="D8" i="1"/>
  <c r="E8" i="1"/>
  <c r="F8" i="1"/>
  <c r="D9" i="1"/>
  <c r="E9" i="1"/>
  <c r="F9" i="1"/>
  <c r="D10" i="1"/>
  <c r="E10" i="1"/>
  <c r="F10" i="1"/>
  <c r="D11" i="1"/>
  <c r="E11" i="1"/>
  <c r="F11" i="1"/>
  <c r="D12" i="1"/>
  <c r="E12" i="1"/>
  <c r="F12" i="1"/>
  <c r="D13" i="1"/>
  <c r="E13" i="1"/>
  <c r="F13" i="1"/>
  <c r="F2" i="1"/>
  <c r="E2" i="1"/>
  <c r="D2" i="1"/>
  <c r="H8" i="1"/>
  <c r="I8" i="1"/>
  <c r="J8" i="1"/>
  <c r="H9" i="1"/>
  <c r="I9" i="1"/>
  <c r="J9" i="1"/>
  <c r="H10" i="1"/>
  <c r="I10" i="1"/>
  <c r="J10" i="1"/>
  <c r="M10" i="1" s="1"/>
  <c r="H11" i="1"/>
  <c r="I11" i="1"/>
  <c r="J11" i="1"/>
  <c r="M11" i="1" s="1"/>
  <c r="H12" i="1"/>
  <c r="I12" i="1"/>
  <c r="J12" i="1"/>
  <c r="L12" i="1" s="1"/>
  <c r="H13" i="1"/>
  <c r="I13" i="1"/>
  <c r="J13" i="1"/>
  <c r="M13" i="1" s="1"/>
  <c r="H4" i="1"/>
  <c r="I4" i="1"/>
  <c r="J4" i="1"/>
  <c r="H5" i="1"/>
  <c r="I5" i="1"/>
  <c r="J5" i="1"/>
  <c r="M5" i="1" s="1"/>
  <c r="H6" i="1"/>
  <c r="I6" i="1"/>
  <c r="J6" i="1"/>
  <c r="M6" i="1" s="1"/>
  <c r="H7" i="1"/>
  <c r="I7" i="1"/>
  <c r="J7" i="1"/>
  <c r="M7" i="1" s="1"/>
  <c r="I3" i="1"/>
  <c r="I2" i="1"/>
  <c r="J2" i="1"/>
  <c r="M2" i="1" s="1"/>
  <c r="J3" i="1"/>
  <c r="M3" i="1" s="1"/>
  <c r="H3" i="1"/>
  <c r="H2" i="1"/>
  <c r="L8" i="1" l="1"/>
  <c r="M12" i="1"/>
  <c r="L9" i="1"/>
  <c r="L13" i="1"/>
  <c r="L11" i="1"/>
  <c r="L10" i="1"/>
  <c r="L4" i="1"/>
  <c r="L3" i="1"/>
  <c r="L2" i="1"/>
  <c r="M9" i="1"/>
  <c r="M8" i="1"/>
  <c r="L7" i="1"/>
  <c r="L6" i="1"/>
  <c r="L5" i="1"/>
  <c r="M4" i="1"/>
</calcChain>
</file>

<file path=xl/sharedStrings.xml><?xml version="1.0" encoding="utf-8"?>
<sst xmlns="http://schemas.openxmlformats.org/spreadsheetml/2006/main" count="89" uniqueCount="72">
  <si>
    <t>Transit Slip No.</t>
  </si>
  <si>
    <t>Bag No.</t>
  </si>
  <si>
    <t>Addressed to:</t>
  </si>
  <si>
    <t>Received from:</t>
  </si>
  <si>
    <t>Sender's Ref:</t>
  </si>
  <si>
    <t>Monday's date:</t>
  </si>
  <si>
    <t>Monday's Month</t>
  </si>
  <si>
    <t>RedTagNo.</t>
  </si>
  <si>
    <t>FullTransitSlipNo</t>
  </si>
  <si>
    <t>TransitSlipTitle</t>
  </si>
  <si>
    <t>RoutineSlipTitle</t>
  </si>
  <si>
    <t>Name:</t>
  </si>
  <si>
    <t>048237</t>
  </si>
  <si>
    <t>User Guide correct as of 131023</t>
  </si>
  <si>
    <t>TRANSIT SLIP</t>
  </si>
  <si>
    <t>3. Wait for all transit slips to be created.</t>
  </si>
  <si>
    <t>4. Do a final check thru and print.</t>
  </si>
  <si>
    <t>TO NOTE:</t>
  </si>
  <si>
    <t>Both ROUTINETEMPLATE.docx and TRANSITTEMPLATE.docx must be in the same directory as this excel file for everything to work.</t>
  </si>
  <si>
    <t>ROUTINE SLIP</t>
  </si>
  <si>
    <t>2. Click on "Routine Slip" button.</t>
  </si>
  <si>
    <t>3. Do a final check thru and print.</t>
  </si>
  <si>
    <t>4. Close the docx. No need to Save</t>
  </si>
  <si>
    <t>If addressee is not listed in dropdown, add addressee details to 'Addresses' sheet</t>
  </si>
  <si>
    <t>If there is any error msg, close and click "DO NOT SAVE". The TRANSITTEMPLATE.docx and ROUTINETEMPLATE.docx must remain unedited</t>
  </si>
  <si>
    <t>5. Close each docx. No need to Save (unless there are edits)</t>
  </si>
  <si>
    <t>SENDER'S REF is always different!! Ensure to check through before printing. If mail has no sender's ref, key in "-"</t>
  </si>
  <si>
    <t>1. Ensure all date and Red Tag details are filled in Row 2 (i.e. first transit slip row). Routine slip details will take only this info</t>
  </si>
  <si>
    <t>03</t>
  </si>
  <si>
    <t>04</t>
  </si>
  <si>
    <t>05</t>
  </si>
  <si>
    <t>02</t>
  </si>
  <si>
    <t>2. Select only all applicable rows and click the "Transit Slip" button.</t>
  </si>
  <si>
    <t>1. One row = One mail. Fill in ONLY THE CELLS WITH PINK COLUMN HEADERS. (Those with coloured backgrounds and FullTransitSlipNo will auto-populate.)</t>
  </si>
  <si>
    <t>6. In this directory, copy and paste the whole transit slip folder (title is Mon's date) to the correct location in XXXX desktop.</t>
  </si>
  <si>
    <t>5. In this directory, copy and paste the routine slip (title is Mon's date) to the correct location in XXXX desktop.</t>
  </si>
  <si>
    <t>MR. JOHNSON</t>
  </si>
  <si>
    <t>MS. SMITH</t>
  </si>
  <si>
    <t>MR. DAVIS</t>
  </si>
  <si>
    <t>MS. BROWN</t>
  </si>
  <si>
    <t>MR. MILLER</t>
  </si>
  <si>
    <t>MS. WILLIAMS</t>
  </si>
  <si>
    <t>MR. JONES</t>
  </si>
  <si>
    <t>MS. GARCIA</t>
  </si>
  <si>
    <t>MR. MARTINEZ</t>
  </si>
  <si>
    <t>MS. LEE</t>
  </si>
  <si>
    <t>MR. CLARK</t>
  </si>
  <si>
    <t>123 Oakwood Drive, Springfield, IL 62704</t>
  </si>
  <si>
    <t>456 Maple Avenue, Los Angeles, CA 90012</t>
  </si>
  <si>
    <t>789 Elm Street, Austin, TX 73301</t>
  </si>
  <si>
    <t>101 Pine Road, Miami, FL 33101</t>
  </si>
  <si>
    <t>202 Birch Lane, Seattle, WA 98101</t>
  </si>
  <si>
    <t>303 Cedar Court, Denver, CO 80202</t>
  </si>
  <si>
    <t>404 Walnut Street, Phoenix, AZ 85001</t>
  </si>
  <si>
    <t>505 Cherry Boulevard, Chicago, IL 60601</t>
  </si>
  <si>
    <t>606 Palm Drive, San Francisco, CA 94101</t>
  </si>
  <si>
    <t>707 Oak Avenue, Boston, MA 02108</t>
  </si>
  <si>
    <t>808 Spruce Street, New York, NY 10001</t>
  </si>
  <si>
    <t>TechPro</t>
  </si>
  <si>
    <t>EcoWave</t>
  </si>
  <si>
    <t>MediCore</t>
  </si>
  <si>
    <t>7G8F1-93K4L-5B2QW</t>
  </si>
  <si>
    <t>T4L7X-92P1D-Z9M3R</t>
  </si>
  <si>
    <t>6J9N2-V4S8T-1Q3BL</t>
  </si>
  <si>
    <t>R5C7X-1K2D3-N4Z8V</t>
  </si>
  <si>
    <t>2L9P6-X7R4D-Q1M5T</t>
  </si>
  <si>
    <t>J3K7W-9P4L1-S5B8Z</t>
  </si>
  <si>
    <t>8M1D4-N2L9X-V7K5R</t>
  </si>
  <si>
    <t>Q2B5L-8J3M9-R7T4K</t>
  </si>
  <si>
    <t>4V6T9-P3K1D-5X7LQ</t>
  </si>
  <si>
    <t>N1R5B-4L7X9-Q2D8M</t>
  </si>
  <si>
    <t>5J8P2-T1K6R-9M4VQ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</si>
</sst>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 mmm\ yy"/>
    <numFmt numFmtId="165" formatCode="ddmmyy"/>
  </numFmts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rgb="FF00B0F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2" borderId="0" xfId="0" applyFill="1"/>
    <xf numFmtId="0" fontId="3" fillId="0" borderId="0" xfId="0" applyFont="1"/>
    <xf numFmtId="0" fontId="0" fillId="0" borderId="0" xfId="0" applyAlignment="1">
      <alignment wrapText="1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5" fillId="6" borderId="0" xfId="0" applyFont="1" applyFill="1"/>
    <xf numFmtId="0" fontId="0" fillId="6" borderId="0" xfId="0" applyFill="1"/>
    <xf numFmtId="0" fontId="6" fillId="0" borderId="2" xfId="0" applyFont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5" fillId="7" borderId="2" xfId="0" applyFont="1" applyFill="1" applyBorder="1"/>
    <xf numFmtId="0" fontId="0" fillId="7" borderId="3" xfId="0" applyFill="1" applyBorder="1"/>
    <xf numFmtId="0" fontId="5" fillId="5" borderId="2" xfId="0" applyFont="1" applyFill="1" applyBorder="1"/>
    <xf numFmtId="0" fontId="0" fillId="5" borderId="3" xfId="0" applyFill="1" applyBorder="1"/>
    <xf numFmtId="0" fontId="2" fillId="0" borderId="1" xfId="0" applyFont="1" applyBorder="1" applyAlignment="1">
      <alignment horizontal="center" vertical="top" wrapText="1"/>
    </xf>
    <xf numFmtId="49" fontId="0" fillId="5" borderId="0" xfId="0" applyNumberFormat="1" applyFill="1" applyAlignment="1">
      <alignment horizontal="center" vertical="top" wrapText="1"/>
    </xf>
    <xf numFmtId="0" fontId="0" fillId="5" borderId="0" xfId="0" applyFill="1" applyAlignment="1">
      <alignment horizontal="center" vertical="top" wrapText="1"/>
    </xf>
    <xf numFmtId="0" fontId="0" fillId="2" borderId="0" xfId="0" applyFill="1" applyAlignment="1">
      <alignment horizontal="center" vertical="top" wrapText="1"/>
    </xf>
    <xf numFmtId="164" fontId="0" fillId="5" borderId="0" xfId="0" applyNumberFormat="1" applyFill="1" applyAlignment="1">
      <alignment horizontal="center" vertical="top" wrapText="1"/>
    </xf>
    <xf numFmtId="164" fontId="0" fillId="3" borderId="0" xfId="0" applyNumberFormat="1" applyFill="1" applyAlignment="1">
      <alignment horizontal="center" vertical="top" wrapText="1"/>
    </xf>
    <xf numFmtId="165" fontId="0" fillId="3" borderId="0" xfId="0" applyNumberFormat="1" applyFill="1" applyAlignment="1">
      <alignment horizontal="center" vertical="top" wrapText="1"/>
    </xf>
    <xf numFmtId="0" fontId="0" fillId="3" borderId="0" xfId="0" applyFill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49" fontId="0" fillId="0" borderId="0" xfId="0" applyNumberFormat="1" applyAlignment="1">
      <alignment horizontal="center" vertical="top" wrapText="1"/>
    </xf>
    <xf numFmtId="164" fontId="0" fillId="0" borderId="0" xfId="0" applyNumberFormat="1" applyAlignment="1">
      <alignment horizontal="center" vertical="top" wrapText="1"/>
    </xf>
    <xf numFmtId="164" fontId="0" fillId="4" borderId="0" xfId="0" applyNumberFormat="1" applyFill="1" applyAlignment="1">
      <alignment horizontal="center" vertical="top" wrapText="1"/>
    </xf>
    <xf numFmtId="0" fontId="0" fillId="4" borderId="0" xfId="0" applyFill="1" applyAlignment="1">
      <alignment horizontal="center" vertical="top" wrapText="1"/>
    </xf>
    <xf numFmtId="165" fontId="0" fillId="0" borderId="0" xfId="0" applyNumberFormat="1" applyAlignment="1">
      <alignment horizontal="center" vertical="top" wrapText="1"/>
    </xf>
    <xf numFmtId="49" fontId="0" fillId="0" borderId="8" xfId="0" applyNumberFormat="1" applyBorder="1" applyAlignment="1">
      <alignment horizontal="center" vertical="top" wrapText="1"/>
    </xf>
    <xf numFmtId="0" fontId="0" fillId="0" borderId="8" xfId="0" applyBorder="1" applyAlignment="1">
      <alignment horizontal="center" vertical="top" wrapText="1"/>
    </xf>
    <xf numFmtId="0" fontId="0" fillId="2" borderId="8" xfId="0" applyFill="1" applyBorder="1" applyAlignment="1">
      <alignment horizontal="center" vertical="top" wrapText="1"/>
    </xf>
    <xf numFmtId="164" fontId="0" fillId="0" borderId="8" xfId="0" applyNumberFormat="1" applyBorder="1" applyAlignment="1">
      <alignment horizontal="center" vertical="top" wrapText="1"/>
    </xf>
    <xf numFmtId="164" fontId="0" fillId="4" borderId="8" xfId="0" applyNumberFormat="1" applyFill="1" applyBorder="1" applyAlignment="1">
      <alignment horizontal="center" vertical="top" wrapText="1"/>
    </xf>
    <xf numFmtId="0" fontId="0" fillId="4" borderId="8" xfId="0" applyFill="1" applyBorder="1" applyAlignment="1">
      <alignment horizontal="center" vertical="top" wrapText="1"/>
    </xf>
    <xf numFmtId="0" fontId="0" fillId="0" borderId="0" xfId="0" applyAlignment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603250</xdr:colOff>
          <xdr:row>1</xdr:row>
          <xdr:rowOff>6350</xdr:rowOff>
        </xdr:from>
        <xdr:to>
          <xdr:col>15</xdr:col>
          <xdr:colOff>146050</xdr:colOff>
          <xdr:row>1</xdr:row>
          <xdr:rowOff>444500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Transit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603250</xdr:colOff>
          <xdr:row>1</xdr:row>
          <xdr:rowOff>590550</xdr:rowOff>
        </xdr:from>
        <xdr:to>
          <xdr:col>15</xdr:col>
          <xdr:colOff>139700</xdr:colOff>
          <xdr:row>2</xdr:row>
          <xdr:rowOff>12700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Routine Slip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3"/>
  <sheetViews>
    <sheetView tabSelected="1" zoomScale="77" zoomScaleNormal="77" workbookViewId="0">
      <selection activeCell="R2" sqref="R2"/>
    </sheetView>
  </sheetViews>
  <sheetFormatPr defaultRowHeight="80" customHeight="1" x14ac:dyDescent="0.35"/>
  <cols>
    <col min="1" max="1" width="13" style="30" customWidth="1"/>
    <col min="2" max="2" width="8.7265625" style="30"/>
    <col min="3" max="4" width="21.453125" style="29" customWidth="1"/>
    <col min="5" max="5" width="13.1796875" style="29" customWidth="1"/>
    <col min="6" max="6" width="12.90625" style="29" customWidth="1"/>
    <col min="7" max="8" width="9.81640625" style="31" customWidth="1"/>
    <col min="9" max="9" width="7.453125" style="34" customWidth="1"/>
    <col min="10" max="10" width="8.7265625" style="29"/>
    <col min="11" max="11" width="8.7265625" style="30"/>
    <col min="12" max="12" width="8.7265625" style="29"/>
    <col min="13" max="13" width="8.7265625" style="33"/>
    <col min="14" max="16384" width="8.7265625" style="29"/>
  </cols>
  <sheetData>
    <row r="1" spans="1:13" ht="80" customHeight="1" x14ac:dyDescent="0.35">
      <c r="A1" s="22" t="s">
        <v>0</v>
      </c>
      <c r="B1" s="22" t="s">
        <v>1</v>
      </c>
      <c r="C1" s="23" t="s">
        <v>11</v>
      </c>
      <c r="D1" s="24" t="s">
        <v>2</v>
      </c>
      <c r="E1" s="24" t="s">
        <v>3</v>
      </c>
      <c r="F1" s="24" t="s">
        <v>4</v>
      </c>
      <c r="G1" s="25" t="s">
        <v>5</v>
      </c>
      <c r="H1" s="26"/>
      <c r="I1" s="27" t="s">
        <v>10</v>
      </c>
      <c r="J1" s="28" t="s">
        <v>6</v>
      </c>
      <c r="K1" s="22" t="s">
        <v>7</v>
      </c>
      <c r="L1" s="28" t="s">
        <v>8</v>
      </c>
      <c r="M1" s="28" t="s">
        <v>9</v>
      </c>
    </row>
    <row r="2" spans="1:13" ht="80" customHeight="1" x14ac:dyDescent="0.35">
      <c r="A2" s="30" t="s">
        <v>28</v>
      </c>
      <c r="B2" s="30" t="s">
        <v>31</v>
      </c>
      <c r="C2" s="29" t="s">
        <v>37</v>
      </c>
      <c r="D2" s="24" t="str">
        <f>VLOOKUP(C2,Addresses!$A$1:$D$40,2,FALSE)</f>
        <v>456 Maple Avenue, Los Angeles, CA 90012</v>
      </c>
      <c r="E2" s="24" t="str">
        <f>VLOOKUP(C2,Addresses!$A$1:$D$40,3,FALSE)</f>
        <v>EcoWave</v>
      </c>
      <c r="F2" s="24" t="str">
        <f>VLOOKUP(C2,Addresses!$A$1:$D$40,4,FALSE)</f>
        <v>T4L7X-92P1D-Z9M3R</v>
      </c>
      <c r="G2" s="31">
        <v>45306</v>
      </c>
      <c r="H2" s="32" t="str">
        <f>UPPER(TEXT(G2,"DD MMM YY"))</f>
        <v>15 JAN 24</v>
      </c>
      <c r="I2" s="32" t="str">
        <f>UPPER(TEXT(G2,"DDMMYY"))</f>
        <v>150124</v>
      </c>
      <c r="J2" s="33" t="str">
        <f t="shared" ref="J2:J3" si="0">CHAR(64+TEXT(G2,"m"))</f>
        <v>A</v>
      </c>
      <c r="K2" s="30" t="s">
        <v>12</v>
      </c>
      <c r="L2" s="21" t="str">
        <f>IF(G2="","",CONCATENATE(J2,"/",A2,"/",RIGHT(H2,2)))</f>
        <v>A/03/24</v>
      </c>
      <c r="M2" s="33" t="str">
        <f>CONCATENATE(J2,A2)</f>
        <v>A03</v>
      </c>
    </row>
    <row r="3" spans="1:13" ht="80" customHeight="1" x14ac:dyDescent="0.35">
      <c r="A3" s="30" t="s">
        <v>29</v>
      </c>
      <c r="B3" s="30" t="s">
        <v>31</v>
      </c>
      <c r="C3" s="29" t="s">
        <v>45</v>
      </c>
      <c r="D3" s="24" t="str">
        <f>VLOOKUP(C3,Addresses!$A$1:$D$40,2,FALSE)</f>
        <v>707 Oak Avenue, Boston, MA 02108</v>
      </c>
      <c r="E3" s="24" t="str">
        <f>VLOOKUP(C3,Addresses!$A$1:$D$40,3,FALSE)</f>
        <v>TechPro</v>
      </c>
      <c r="F3" s="24" t="str">
        <f>VLOOKUP(C3,Addresses!$A$1:$D$40,4,FALSE)</f>
        <v>N1R5B-4L7X9-Q2D8M</v>
      </c>
      <c r="G3" s="31">
        <v>45306</v>
      </c>
      <c r="H3" s="32" t="str">
        <f t="shared" ref="H3:H7" si="1">UPPER(TEXT(G3,"DD MMM YY"))</f>
        <v>15 JAN 24</v>
      </c>
      <c r="I3" s="32" t="str">
        <f t="shared" ref="I3:I7" si="2">UPPER(TEXT(G3,"DDMMYY"))</f>
        <v>150124</v>
      </c>
      <c r="J3" s="33" t="str">
        <f t="shared" si="0"/>
        <v>A</v>
      </c>
      <c r="L3" s="21" t="str">
        <f t="shared" ref="L3:L7" si="3">IF(G3="","",CONCATENATE(J3,"/",A3,"/",RIGHT(H3,2)))</f>
        <v>A/04/24</v>
      </c>
      <c r="M3" s="33" t="str">
        <f t="shared" ref="M3:M7" si="4">CONCATENATE(J3,A3)</f>
        <v>A04</v>
      </c>
    </row>
    <row r="4" spans="1:13" ht="80" customHeight="1" x14ac:dyDescent="0.35">
      <c r="A4" s="30" t="s">
        <v>30</v>
      </c>
      <c r="B4" s="30" t="s">
        <v>31</v>
      </c>
      <c r="C4" s="29" t="s">
        <v>36</v>
      </c>
      <c r="D4" s="24" t="str">
        <f>VLOOKUP(C4,Addresses!$A$1:$D$40,2,FALSE)</f>
        <v>123 Oakwood Drive, Springfield, IL 62704</v>
      </c>
      <c r="E4" s="24" t="str">
        <f>VLOOKUP(C4,Addresses!$A$1:$D$40,3,FALSE)</f>
        <v>TechPro</v>
      </c>
      <c r="F4" s="24" t="str">
        <f>VLOOKUP(C4,Addresses!$A$1:$D$40,4,FALSE)</f>
        <v>7G8F1-93K4L-5B2QW</v>
      </c>
      <c r="G4" s="31">
        <v>45306</v>
      </c>
      <c r="H4" s="32" t="str">
        <f t="shared" si="1"/>
        <v>15 JAN 24</v>
      </c>
      <c r="I4" s="32" t="str">
        <f t="shared" si="2"/>
        <v>150124</v>
      </c>
      <c r="J4" s="33" t="str">
        <f>CHAR(64+TEXT(G4,"m"))</f>
        <v>A</v>
      </c>
      <c r="L4" s="21" t="str">
        <f t="shared" si="3"/>
        <v>A/05/24</v>
      </c>
      <c r="M4" s="33" t="str">
        <f t="shared" si="4"/>
        <v>A05</v>
      </c>
    </row>
    <row r="5" spans="1:13" ht="80" customHeight="1" x14ac:dyDescent="0.35">
      <c r="D5" s="24" t="e">
        <f>VLOOKUP(C5,Addresses!$A$1:$D$40,2,FALSE)</f>
        <v>#N/A</v>
      </c>
      <c r="E5" s="24" t="e">
        <f>VLOOKUP(C5,Addresses!$A$1:$D$40,3,FALSE)</f>
        <v>#N/A</v>
      </c>
      <c r="F5" s="24" t="e">
        <f>VLOOKUP(C5,Addresses!$A$1:$D$40,4,FALSE)</f>
        <v>#N/A</v>
      </c>
      <c r="G5" s="31">
        <v>45215</v>
      </c>
      <c r="H5" s="32" t="str">
        <f t="shared" si="1"/>
        <v>16 OCT 23</v>
      </c>
      <c r="I5" s="32" t="str">
        <f t="shared" si="2"/>
        <v>161023</v>
      </c>
      <c r="J5" s="33" t="str">
        <f t="shared" ref="J5:J7" si="5">CHAR(64+TEXT(G5,"m"))</f>
        <v>J</v>
      </c>
      <c r="L5" s="21" t="str">
        <f t="shared" si="3"/>
        <v>J//23</v>
      </c>
      <c r="M5" s="33" t="str">
        <f t="shared" si="4"/>
        <v>J</v>
      </c>
    </row>
    <row r="6" spans="1:13" ht="80" customHeight="1" x14ac:dyDescent="0.35">
      <c r="D6" s="24" t="e">
        <f>VLOOKUP(C6,Addresses!$A$1:$D$40,2,FALSE)</f>
        <v>#N/A</v>
      </c>
      <c r="E6" s="24" t="e">
        <f>VLOOKUP(C6,Addresses!$A$1:$D$40,3,FALSE)</f>
        <v>#N/A</v>
      </c>
      <c r="F6" s="24" t="e">
        <f>VLOOKUP(C6,Addresses!$A$1:$D$40,4,FALSE)</f>
        <v>#N/A</v>
      </c>
      <c r="G6" s="31">
        <v>45215</v>
      </c>
      <c r="H6" s="32" t="str">
        <f t="shared" si="1"/>
        <v>16 OCT 23</v>
      </c>
      <c r="I6" s="32" t="str">
        <f t="shared" si="2"/>
        <v>161023</v>
      </c>
      <c r="J6" s="33" t="str">
        <f t="shared" si="5"/>
        <v>J</v>
      </c>
      <c r="L6" s="21" t="str">
        <f t="shared" si="3"/>
        <v>J//23</v>
      </c>
      <c r="M6" s="33" t="str">
        <f t="shared" si="4"/>
        <v>J</v>
      </c>
    </row>
    <row r="7" spans="1:13" ht="80" customHeight="1" x14ac:dyDescent="0.35">
      <c r="D7" s="24" t="e">
        <f>VLOOKUP(C7,Addresses!$A$1:$D$40,2,FALSE)</f>
        <v>#N/A</v>
      </c>
      <c r="E7" s="24" t="e">
        <f>VLOOKUP(C7,Addresses!$A$1:$D$40,3,FALSE)</f>
        <v>#N/A</v>
      </c>
      <c r="F7" s="24" t="e">
        <f>VLOOKUP(C7,Addresses!$A$1:$D$40,4,FALSE)</f>
        <v>#N/A</v>
      </c>
      <c r="G7" s="31">
        <v>45215</v>
      </c>
      <c r="H7" s="32" t="str">
        <f t="shared" si="1"/>
        <v>16 OCT 23</v>
      </c>
      <c r="I7" s="32" t="str">
        <f t="shared" si="2"/>
        <v>161023</v>
      </c>
      <c r="J7" s="33" t="str">
        <f t="shared" si="5"/>
        <v>J</v>
      </c>
      <c r="L7" s="21" t="str">
        <f t="shared" si="3"/>
        <v>J//23</v>
      </c>
      <c r="M7" s="33" t="str">
        <f t="shared" si="4"/>
        <v>J</v>
      </c>
    </row>
    <row r="8" spans="1:13" ht="80" customHeight="1" x14ac:dyDescent="0.35">
      <c r="D8" s="24" t="e">
        <f>VLOOKUP(C8,Addresses!$A$1:$D$40,2,FALSE)</f>
        <v>#N/A</v>
      </c>
      <c r="E8" s="24" t="e">
        <f>VLOOKUP(C8,Addresses!$A$1:$D$40,3,FALSE)</f>
        <v>#N/A</v>
      </c>
      <c r="F8" s="24" t="e">
        <f>VLOOKUP(C8,Addresses!$A$1:$D$40,4,FALSE)</f>
        <v>#N/A</v>
      </c>
      <c r="G8" s="31">
        <v>45215</v>
      </c>
      <c r="H8" s="32" t="str">
        <f t="shared" ref="H8:H13" si="6">UPPER(TEXT(G8,"DD MMM YY"))</f>
        <v>16 OCT 23</v>
      </c>
      <c r="I8" s="32" t="str">
        <f t="shared" ref="I8:I13" si="7">UPPER(TEXT(G8,"DDMMYY"))</f>
        <v>161023</v>
      </c>
      <c r="J8" s="33" t="str">
        <f t="shared" ref="J8:J13" si="8">CHAR(64+TEXT(G8,"m"))</f>
        <v>J</v>
      </c>
      <c r="L8" s="21" t="str">
        <f t="shared" ref="L8:L13" si="9">IF(G8="","",CONCATENATE(J8,"/",A8,"/",RIGHT(H8,2)))</f>
        <v>J//23</v>
      </c>
      <c r="M8" s="33" t="str">
        <f t="shared" ref="M8:M13" si="10">CONCATENATE(J8,A8)</f>
        <v>J</v>
      </c>
    </row>
    <row r="9" spans="1:13" ht="80" customHeight="1" x14ac:dyDescent="0.35">
      <c r="D9" s="24" t="e">
        <f>VLOOKUP(C9,Addresses!$A$1:$D$40,2,FALSE)</f>
        <v>#N/A</v>
      </c>
      <c r="E9" s="24" t="e">
        <f>VLOOKUP(C9,Addresses!$A$1:$D$40,3,FALSE)</f>
        <v>#N/A</v>
      </c>
      <c r="F9" s="24" t="e">
        <f>VLOOKUP(C9,Addresses!$A$1:$D$40,4,FALSE)</f>
        <v>#N/A</v>
      </c>
      <c r="G9" s="31">
        <v>45216</v>
      </c>
      <c r="H9" s="32" t="str">
        <f t="shared" si="6"/>
        <v>17 OCT 23</v>
      </c>
      <c r="I9" s="32" t="str">
        <f t="shared" si="7"/>
        <v>171023</v>
      </c>
      <c r="J9" s="33" t="str">
        <f t="shared" si="8"/>
        <v>J</v>
      </c>
      <c r="L9" s="21" t="str">
        <f t="shared" si="9"/>
        <v>J//23</v>
      </c>
      <c r="M9" s="33" t="str">
        <f t="shared" si="10"/>
        <v>J</v>
      </c>
    </row>
    <row r="10" spans="1:13" ht="80" customHeight="1" x14ac:dyDescent="0.35">
      <c r="D10" s="24" t="e">
        <f>VLOOKUP(C10,Addresses!$A$1:$D$40,2,FALSE)</f>
        <v>#N/A</v>
      </c>
      <c r="E10" s="24" t="e">
        <f>VLOOKUP(C10,Addresses!$A$1:$D$40,3,FALSE)</f>
        <v>#N/A</v>
      </c>
      <c r="F10" s="24" t="e">
        <f>VLOOKUP(C10,Addresses!$A$1:$D$40,4,FALSE)</f>
        <v>#N/A</v>
      </c>
      <c r="G10" s="31">
        <v>45215</v>
      </c>
      <c r="H10" s="32" t="str">
        <f t="shared" si="6"/>
        <v>16 OCT 23</v>
      </c>
      <c r="I10" s="32" t="str">
        <f t="shared" si="7"/>
        <v>161023</v>
      </c>
      <c r="J10" s="33" t="str">
        <f t="shared" si="8"/>
        <v>J</v>
      </c>
      <c r="L10" s="21" t="str">
        <f t="shared" si="9"/>
        <v>J//23</v>
      </c>
      <c r="M10" s="33" t="str">
        <f t="shared" si="10"/>
        <v>J</v>
      </c>
    </row>
    <row r="11" spans="1:13" ht="80" customHeight="1" x14ac:dyDescent="0.35">
      <c r="D11" s="24" t="e">
        <f>VLOOKUP(C11,Addresses!$A$1:$D$40,2,FALSE)</f>
        <v>#N/A</v>
      </c>
      <c r="E11" s="24" t="e">
        <f>VLOOKUP(C11,Addresses!$A$1:$D$40,3,FALSE)</f>
        <v>#N/A</v>
      </c>
      <c r="F11" s="24" t="e">
        <f>VLOOKUP(C11,Addresses!$A$1:$D$40,4,FALSE)</f>
        <v>#N/A</v>
      </c>
      <c r="G11" s="31">
        <v>45215</v>
      </c>
      <c r="H11" s="32" t="str">
        <f t="shared" si="6"/>
        <v>16 OCT 23</v>
      </c>
      <c r="I11" s="32" t="str">
        <f t="shared" si="7"/>
        <v>161023</v>
      </c>
      <c r="J11" s="33" t="str">
        <f t="shared" si="8"/>
        <v>J</v>
      </c>
      <c r="L11" s="21" t="str">
        <f t="shared" si="9"/>
        <v>J//23</v>
      </c>
      <c r="M11" s="33" t="str">
        <f t="shared" si="10"/>
        <v>J</v>
      </c>
    </row>
    <row r="12" spans="1:13" ht="80" customHeight="1" x14ac:dyDescent="0.35">
      <c r="D12" s="24" t="e">
        <f>VLOOKUP(C12,Addresses!$A$1:$D$40,2,FALSE)</f>
        <v>#N/A</v>
      </c>
      <c r="E12" s="24" t="e">
        <f>VLOOKUP(C12,Addresses!$A$1:$D$40,3,FALSE)</f>
        <v>#N/A</v>
      </c>
      <c r="F12" s="24" t="e">
        <f>VLOOKUP(C12,Addresses!$A$1:$D$40,4,FALSE)</f>
        <v>#N/A</v>
      </c>
      <c r="G12" s="31">
        <v>45216</v>
      </c>
      <c r="H12" s="32" t="str">
        <f t="shared" si="6"/>
        <v>17 OCT 23</v>
      </c>
      <c r="I12" s="32" t="str">
        <f t="shared" si="7"/>
        <v>171023</v>
      </c>
      <c r="J12" s="33" t="str">
        <f t="shared" si="8"/>
        <v>J</v>
      </c>
      <c r="L12" s="21" t="str">
        <f t="shared" si="9"/>
        <v>J//23</v>
      </c>
      <c r="M12" s="33" t="str">
        <f t="shared" si="10"/>
        <v>J</v>
      </c>
    </row>
    <row r="13" spans="1:13" s="36" customFormat="1" ht="80" customHeight="1" x14ac:dyDescent="0.35">
      <c r="A13" s="35"/>
      <c r="B13" s="35"/>
      <c r="D13" s="37" t="e">
        <f>VLOOKUP(C13,Addresses!$A$1:$D$40,2,FALSE)</f>
        <v>#N/A</v>
      </c>
      <c r="E13" s="37" t="e">
        <f>VLOOKUP(C13,Addresses!$A$1:$D$40,3,FALSE)</f>
        <v>#N/A</v>
      </c>
      <c r="F13" s="37" t="e">
        <f>VLOOKUP(C13,Addresses!$A$1:$D$40,4,FALSE)</f>
        <v>#N/A</v>
      </c>
      <c r="G13" s="38">
        <v>45217</v>
      </c>
      <c r="H13" s="39" t="str">
        <f t="shared" si="6"/>
        <v>18 OCT 23</v>
      </c>
      <c r="I13" s="39" t="str">
        <f t="shared" si="7"/>
        <v>181023</v>
      </c>
      <c r="J13" s="40" t="str">
        <f t="shared" si="8"/>
        <v>J</v>
      </c>
      <c r="K13" s="35"/>
      <c r="L13" s="21" t="str">
        <f t="shared" si="9"/>
        <v>J//23</v>
      </c>
      <c r="M13" s="40" t="str">
        <f t="shared" si="10"/>
        <v>J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ransitSlip">
                <anchor moveWithCells="1" sizeWithCells="1">
                  <from>
                    <xdr:col>13</xdr:col>
                    <xdr:colOff>603250</xdr:colOff>
                    <xdr:row>1</xdr:row>
                    <xdr:rowOff>6350</xdr:rowOff>
                  </from>
                  <to>
                    <xdr:col>15</xdr:col>
                    <xdr:colOff>146050</xdr:colOff>
                    <xdr:row>1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RoutineSlip.RoutineSlip">
                <anchor moveWithCells="1" sizeWithCells="1">
                  <from>
                    <xdr:col>13</xdr:col>
                    <xdr:colOff>603250</xdr:colOff>
                    <xdr:row>1</xdr:row>
                    <xdr:rowOff>590550</xdr:rowOff>
                  </from>
                  <to>
                    <xdr:col>15</xdr:col>
                    <xdr:colOff>139700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17C043A-3B8E-46EF-8A6F-F6E6A523005B}">
          <x14:formula1>
            <xm:f>Addresses!$B:$B</xm:f>
          </x14:formula1>
          <xm:sqref>D14:D1048576</xm:sqref>
        </x14:dataValidation>
        <x14:dataValidation type="list" allowBlank="1" showInputMessage="1" showErrorMessage="1" xr:uid="{E628CBA9-E235-4DF7-9F0C-D0431BDC37A8}">
          <x14:formula1>
            <xm:f>Addresses!$A:$A</xm:f>
          </x14:formula1>
          <xm:sqref>C1:C1048576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3F975-D660-4954-B0A0-5D263CBBBD72}">
  <sheetPr codeName="Sheet2"/>
  <dimension ref="A1:G12"/>
  <sheetViews>
    <sheetView zoomScale="71" zoomScaleNormal="71" workbookViewId="0">
      <selection activeCell="I6" sqref="I6"/>
    </sheetView>
  </sheetViews>
  <sheetFormatPr defaultRowHeight="14.5" x14ac:dyDescent="0.35"/>
  <cols>
    <col min="1" max="1" width="20.90625" customWidth="1"/>
    <col min="2" max="2" width="19.7265625" style="6" customWidth="1"/>
  </cols>
  <sheetData>
    <row r="1" spans="1:7" x14ac:dyDescent="0.35">
      <c r="A1" s="1" t="s">
        <v>11</v>
      </c>
      <c r="B1" s="4" t="s">
        <v>2</v>
      </c>
      <c r="C1" s="1" t="s">
        <v>3</v>
      </c>
      <c r="D1" s="1" t="s">
        <v>4</v>
      </c>
    </row>
    <row r="2" spans="1:7" ht="29" x14ac:dyDescent="0.35">
      <c r="A2" s="3" t="s">
        <v>36</v>
      </c>
      <c r="B2" s="5" t="s">
        <v>47</v>
      </c>
      <c r="C2" t="s">
        <v>58</v>
      </c>
      <c r="D2" s="42" t="s">
        <v>61</v>
      </c>
    </row>
    <row r="3" spans="1:7" ht="29" x14ac:dyDescent="0.35">
      <c r="A3" s="3" t="s">
        <v>37</v>
      </c>
      <c r="B3" s="5" t="s">
        <v>48</v>
      </c>
      <c r="C3" t="s">
        <v>59</v>
      </c>
      <c r="D3" s="42" t="s">
        <v>62</v>
      </c>
    </row>
    <row r="4" spans="1:7" ht="29" x14ac:dyDescent="0.35">
      <c r="A4" s="41" t="s">
        <v>38</v>
      </c>
      <c r="B4" s="5" t="s">
        <v>49</v>
      </c>
      <c r="C4" t="s">
        <v>60</v>
      </c>
      <c r="D4" t="s">
        <v>63</v>
      </c>
    </row>
    <row r="5" spans="1:7" ht="30" x14ac:dyDescent="0.45">
      <c r="A5" s="41" t="s">
        <v>39</v>
      </c>
      <c r="B5" s="5" t="s">
        <v>50</v>
      </c>
      <c r="C5" t="s">
        <v>58</v>
      </c>
      <c r="D5" t="s">
        <v>64</v>
      </c>
      <c r="G5" s="2"/>
    </row>
    <row r="6" spans="1:7" ht="29" x14ac:dyDescent="0.35">
      <c r="A6" s="41" t="s">
        <v>40</v>
      </c>
      <c r="B6" s="5" t="s">
        <v>51</v>
      </c>
      <c r="C6" t="s">
        <v>59</v>
      </c>
      <c r="D6" t="s">
        <v>65</v>
      </c>
    </row>
    <row r="7" spans="1:7" ht="29" x14ac:dyDescent="0.35">
      <c r="A7" s="41" t="s">
        <v>41</v>
      </c>
      <c r="B7" s="5" t="s">
        <v>52</v>
      </c>
      <c r="C7" s="3" t="s">
        <v>60</v>
      </c>
      <c r="D7" t="s">
        <v>66</v>
      </c>
    </row>
    <row r="8" spans="1:7" ht="29" x14ac:dyDescent="0.35">
      <c r="A8" s="41" t="s">
        <v>42</v>
      </c>
      <c r="B8" s="5" t="s">
        <v>53</v>
      </c>
      <c r="C8" t="s">
        <v>58</v>
      </c>
      <c r="D8" t="s">
        <v>67</v>
      </c>
    </row>
    <row r="9" spans="1:7" ht="29" x14ac:dyDescent="0.35">
      <c r="A9" s="41" t="s">
        <v>43</v>
      </c>
      <c r="B9" s="5" t="s">
        <v>54</v>
      </c>
      <c r="C9" t="s">
        <v>59</v>
      </c>
      <c r="D9" t="s">
        <v>68</v>
      </c>
    </row>
    <row r="10" spans="1:7" ht="43.5" x14ac:dyDescent="0.35">
      <c r="A10" s="41" t="s">
        <v>44</v>
      </c>
      <c r="B10" s="5" t="s">
        <v>55</v>
      </c>
      <c r="C10" t="s">
        <v>60</v>
      </c>
      <c r="D10" s="3" t="s">
        <v>69</v>
      </c>
    </row>
    <row r="11" spans="1:7" ht="29" x14ac:dyDescent="0.35">
      <c r="A11" s="41" t="s">
        <v>45</v>
      </c>
      <c r="B11" s="5" t="s">
        <v>56</v>
      </c>
      <c r="C11" t="s">
        <v>58</v>
      </c>
      <c r="D11" t="s">
        <v>70</v>
      </c>
    </row>
    <row r="12" spans="1:7" x14ac:dyDescent="0.35">
      <c r="A12" s="41" t="s">
        <v>46</v>
      </c>
      <c r="B12" s="6" t="s">
        <v>57</v>
      </c>
      <c r="C12" t="s">
        <v>59</v>
      </c>
      <c r="D12" t="s">
        <v>71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BA8CC-0C06-46B9-9125-95BF321BAA49}">
  <sheetPr codeName="Sheet3"/>
  <dimension ref="A1:M21"/>
  <sheetViews>
    <sheetView workbookViewId="0">
      <selection activeCell="N11" sqref="N11"/>
    </sheetView>
  </sheetViews>
  <sheetFormatPr defaultRowHeight="14.5" x14ac:dyDescent="0.35"/>
  <sheetData>
    <row r="1" spans="1:13" x14ac:dyDescent="0.35">
      <c r="A1" s="7" t="s">
        <v>13</v>
      </c>
      <c r="B1" s="8"/>
      <c r="C1" s="8"/>
    </row>
    <row r="2" spans="1:13" x14ac:dyDescent="0.35">
      <c r="A2" s="9" t="s">
        <v>17</v>
      </c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1"/>
    </row>
    <row r="3" spans="1:13" x14ac:dyDescent="0.35">
      <c r="A3" s="12" t="s">
        <v>18</v>
      </c>
      <c r="M3" s="13"/>
    </row>
    <row r="4" spans="1:13" x14ac:dyDescent="0.35">
      <c r="A4" s="12" t="s">
        <v>23</v>
      </c>
      <c r="M4" s="13"/>
    </row>
    <row r="5" spans="1:13" x14ac:dyDescent="0.35">
      <c r="A5" s="12" t="s">
        <v>24</v>
      </c>
      <c r="M5" s="13"/>
    </row>
    <row r="6" spans="1:13" x14ac:dyDescent="0.35">
      <c r="A6" s="14" t="s">
        <v>26</v>
      </c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6"/>
    </row>
    <row r="8" spans="1:13" x14ac:dyDescent="0.35">
      <c r="A8" s="17" t="s">
        <v>14</v>
      </c>
      <c r="B8" s="18"/>
      <c r="C8" s="10"/>
      <c r="D8" s="10"/>
      <c r="E8" s="10"/>
      <c r="F8" s="10"/>
      <c r="G8" s="10"/>
      <c r="H8" s="10"/>
      <c r="I8" s="10"/>
      <c r="J8" s="10"/>
      <c r="K8" s="10"/>
      <c r="L8" s="10"/>
      <c r="M8" s="11"/>
    </row>
    <row r="9" spans="1:13" x14ac:dyDescent="0.35">
      <c r="A9" s="12" t="s">
        <v>33</v>
      </c>
      <c r="M9" s="13"/>
    </row>
    <row r="10" spans="1:13" x14ac:dyDescent="0.35">
      <c r="A10" s="12" t="s">
        <v>32</v>
      </c>
      <c r="M10" s="13"/>
    </row>
    <row r="11" spans="1:13" x14ac:dyDescent="0.35">
      <c r="A11" s="12" t="s">
        <v>15</v>
      </c>
      <c r="M11" s="13"/>
    </row>
    <row r="12" spans="1:13" x14ac:dyDescent="0.35">
      <c r="A12" s="12" t="s">
        <v>16</v>
      </c>
      <c r="M12" s="13"/>
    </row>
    <row r="13" spans="1:13" x14ac:dyDescent="0.35">
      <c r="A13" s="12" t="s">
        <v>25</v>
      </c>
      <c r="M13" s="13"/>
    </row>
    <row r="14" spans="1:13" x14ac:dyDescent="0.35">
      <c r="A14" s="14" t="s">
        <v>34</v>
      </c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6"/>
    </row>
    <row r="16" spans="1:13" x14ac:dyDescent="0.35">
      <c r="A16" s="19" t="s">
        <v>19</v>
      </c>
      <c r="B16" s="2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1"/>
    </row>
    <row r="17" spans="1:13" x14ac:dyDescent="0.35">
      <c r="A17" s="12" t="s">
        <v>27</v>
      </c>
      <c r="M17" s="13"/>
    </row>
    <row r="18" spans="1:13" x14ac:dyDescent="0.35">
      <c r="A18" s="12" t="s">
        <v>20</v>
      </c>
      <c r="M18" s="13"/>
    </row>
    <row r="19" spans="1:13" x14ac:dyDescent="0.35">
      <c r="A19" s="12" t="s">
        <v>21</v>
      </c>
      <c r="M19" s="13"/>
    </row>
    <row r="20" spans="1:13" x14ac:dyDescent="0.35">
      <c r="A20" s="12" t="s">
        <v>22</v>
      </c>
      <c r="M20" s="13"/>
    </row>
    <row r="21" spans="1:13" x14ac:dyDescent="0.35">
      <c r="A21" s="14" t="s">
        <v>35</v>
      </c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Addresses</vt:lpstr>
      <vt:lpstr>HOW TO USE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Alson Lee</cp:lastModifiedBy>
  <cp:lastPrinted>2023-08-01T08:45:42Z</cp:lastPrinted>
  <dcterms:created xsi:type="dcterms:W3CDTF">2015-06-05T18:17:20Z</dcterms:created>
  <dcterms:modified xsi:type="dcterms:W3CDTF">2024-10-10T16:56:56Z</dcterms:modified>
</cp:coreProperties>
</file>